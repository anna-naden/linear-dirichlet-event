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<sst xmlns="http://schemas.openxmlformats.org/spreadsheetml/2006/main" count="36" uniqueCount="29">
  <si>
    <t xml:space="preserve">Coin 1 is fair, coin 2 is biased to produce heads 90% of the time. Coin 3 produces heads 70% of the time. Coin 1 is x1, the first variable (heads=0, tails=1)</t>
  </si>
  <si>
    <t xml:space="preserve">If coin 1 comes up heads, coin 2 is tossed twice. If coin 1 comes up tails, coin 3 is tossed twice. These two tosses make the second and third variables, x2 and x3</t>
  </si>
  <si>
    <t xml:space="preserve">Because coins 2 and 3 are identical, x2 and x3 are interchangeable. De Finetti’s theorem says that x2 and x3, when conditioned on x1, are independent</t>
  </si>
  <si>
    <t xml:space="preserve">This makes sense because the coin used for x2 and x3 is determined by x1</t>
  </si>
  <si>
    <t xml:space="preserve">Joint Probabilities</t>
  </si>
  <si>
    <t xml:space="preserve">x1</t>
  </si>
  <si>
    <t xml:space="preserve">x2</t>
  </si>
  <si>
    <t xml:space="preserve">x3</t>
  </si>
  <si>
    <t xml:space="preserve">p</t>
  </si>
  <si>
    <t xml:space="preserve">x2*x3</t>
  </si>
  <si>
    <t xml:space="preserve">Total</t>
  </si>
  <si>
    <t xml:space="preserve">Conditional probabilities</t>
  </si>
  <si>
    <t xml:space="preserve">outcome</t>
  </si>
  <si>
    <t xml:space="preserve">x2 and x3 are conditionally independent. X1 is the latent variable.</t>
  </si>
  <si>
    <t xml:space="preserve">p(x2=0|x1=0)</t>
  </si>
  <si>
    <t xml:space="preserve">p(x3=0|x1=0)</t>
  </si>
  <si>
    <t xml:space="preserve">p(x2=1|x1=0)</t>
  </si>
  <si>
    <t xml:space="preserve">p(x3=1|x1=0)</t>
  </si>
  <si>
    <t xml:space="preserve">p(x2=0|x1=1)</t>
  </si>
  <si>
    <t xml:space="preserve">p(x3=1|x1=1)</t>
  </si>
  <si>
    <t xml:space="preserve">p(x2=1|x1=1)</t>
  </si>
  <si>
    <t xml:space="preserve">The probability mass (density) function of x3, conditioned on x1, is equal to the probability function of x3, conditioned on x2</t>
  </si>
  <si>
    <t xml:space="preserve">Correlation</t>
  </si>
  <si>
    <t xml:space="preserve">The correlation of x2 and x3 is proportional to E(x2-E(x2))E(x3-E(x3))=</t>
  </si>
  <si>
    <t xml:space="preserve">E(x2)=</t>
  </si>
  <si>
    <t xml:space="preserve">E(x3)=</t>
  </si>
  <si>
    <t xml:space="preserve">x2-E(x2)</t>
  </si>
  <si>
    <t xml:space="preserve">x3-E(x3)</t>
  </si>
  <si>
    <t xml:space="preserve">(x2-E(X2)E(x3-E(x3))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</si>
</sst>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43" activeCellId="0" sqref="M43"/>
    </sheetView>
  </sheetViews>
  <sheetFormatPr defaultColWidth="11.58984375" defaultRowHeight="12.75" zeroHeight="false" outlineLevelRow="0" outlineLevelCol="0"/>
  <sheetData>
    <row r="2" customFormat="false" ht="12.75" hidden="false" customHeight="false" outlineLevel="0" collapsed="false">
      <c r="B2" s="0" t="s">
        <v>0</v>
      </c>
    </row>
    <row r="3" customFormat="false" ht="14.1" hidden="false" customHeight="true" outlineLevel="0" collapsed="false">
      <c r="B3" s="0" t="s">
        <v>1</v>
      </c>
    </row>
    <row r="4" customFormat="false" ht="12.75" hidden="false" customHeight="false" outlineLevel="0" collapsed="false">
      <c r="B4" s="0" t="s">
        <v>2</v>
      </c>
    </row>
    <row r="5" customFormat="false" ht="12.75" hidden="false" customHeight="false" outlineLevel="0" collapsed="false">
      <c r="B5" s="0" t="s">
        <v>3</v>
      </c>
    </row>
    <row r="7" customFormat="false" ht="12.75" hidden="false" customHeight="false" outlineLevel="0" collapsed="false">
      <c r="B7" s="1" t="s">
        <v>4</v>
      </c>
    </row>
    <row r="8" customFormat="false" ht="12.75" hidden="false" customHeight="false" outlineLevel="0" collapsed="false">
      <c r="B8" s="0" t="s">
        <v>5</v>
      </c>
      <c r="D8" s="0" t="s">
        <v>6</v>
      </c>
      <c r="F8" s="0" t="s">
        <v>7</v>
      </c>
      <c r="H8" s="0" t="s">
        <v>8</v>
      </c>
      <c r="I8" s="0" t="s">
        <v>9</v>
      </c>
    </row>
    <row r="9" customFormat="false" ht="12.8" hidden="false" customHeight="false" outlineLevel="0" collapsed="false">
      <c r="B9" s="0" t="n">
        <v>0</v>
      </c>
      <c r="C9" s="0" t="n">
        <v>0.5</v>
      </c>
      <c r="D9" s="0" t="n">
        <v>0</v>
      </c>
      <c r="E9" s="0" t="n">
        <v>0.9</v>
      </c>
      <c r="F9" s="0" t="n">
        <v>0</v>
      </c>
      <c r="G9" s="0" t="n">
        <v>0.9</v>
      </c>
      <c r="H9" s="0" t="n">
        <f aca="false">C9*E9*G9</f>
        <v>0.405</v>
      </c>
      <c r="I9" s="0" t="n">
        <f aca="false">F9*D9</f>
        <v>0</v>
      </c>
      <c r="J9" s="0" t="n">
        <f aca="false">I9*H9</f>
        <v>0</v>
      </c>
      <c r="K9" s="0" t="n">
        <f aca="false">D9*H9</f>
        <v>0</v>
      </c>
    </row>
    <row r="10" customFormat="false" ht="12.8" hidden="false" customHeight="false" outlineLevel="0" collapsed="false">
      <c r="B10" s="0" t="n">
        <v>0</v>
      </c>
      <c r="C10" s="0" t="n">
        <v>0.5</v>
      </c>
      <c r="D10" s="0" t="n">
        <v>0</v>
      </c>
      <c r="E10" s="0" t="n">
        <v>0.9</v>
      </c>
      <c r="F10" s="0" t="n">
        <v>1</v>
      </c>
      <c r="G10" s="0" t="n">
        <v>0.1</v>
      </c>
      <c r="H10" s="0" t="n">
        <f aca="false">C10*E10*G10</f>
        <v>0.045</v>
      </c>
      <c r="I10" s="0" t="n">
        <f aca="false">F10*D10</f>
        <v>0</v>
      </c>
      <c r="J10" s="0" t="n">
        <f aca="false">I10*H10</f>
        <v>0</v>
      </c>
      <c r="K10" s="0" t="n">
        <f aca="false">D10*H10</f>
        <v>0</v>
      </c>
    </row>
    <row r="11" customFormat="false" ht="12.8" hidden="false" customHeight="false" outlineLevel="0" collapsed="false">
      <c r="B11" s="0" t="n">
        <v>0</v>
      </c>
      <c r="C11" s="0" t="n">
        <v>0.5</v>
      </c>
      <c r="D11" s="0" t="n">
        <v>1</v>
      </c>
      <c r="E11" s="0" t="n">
        <v>0.1</v>
      </c>
      <c r="F11" s="0" t="n">
        <v>0</v>
      </c>
      <c r="G11" s="0" t="n">
        <v>0.9</v>
      </c>
      <c r="H11" s="0" t="n">
        <f aca="false">C11*E11*G11</f>
        <v>0.045</v>
      </c>
      <c r="I11" s="0" t="n">
        <f aca="false">F11*D11</f>
        <v>0</v>
      </c>
      <c r="J11" s="0" t="n">
        <f aca="false">I11*H11</f>
        <v>0</v>
      </c>
      <c r="K11" s="0" t="n">
        <f aca="false">D11*H11</f>
        <v>0.045</v>
      </c>
    </row>
    <row r="12" customFormat="false" ht="12.8" hidden="false" customHeight="false" outlineLevel="0" collapsed="false">
      <c r="B12" s="0" t="n">
        <v>0</v>
      </c>
      <c r="C12" s="0" t="n">
        <v>0.5</v>
      </c>
      <c r="D12" s="0" t="n">
        <v>1</v>
      </c>
      <c r="E12" s="0" t="n">
        <v>0.1</v>
      </c>
      <c r="F12" s="0" t="n">
        <v>1</v>
      </c>
      <c r="G12" s="0" t="n">
        <v>0.1</v>
      </c>
      <c r="H12" s="0" t="n">
        <f aca="false">C12*E12*G12</f>
        <v>0.005</v>
      </c>
      <c r="I12" s="0" t="n">
        <f aca="false">F12*D12</f>
        <v>1</v>
      </c>
      <c r="J12" s="0" t="n">
        <f aca="false">I12*H12</f>
        <v>0.005</v>
      </c>
      <c r="K12" s="0" t="n">
        <f aca="false">D12*H12</f>
        <v>0.005</v>
      </c>
    </row>
    <row r="13" customFormat="false" ht="12.8" hidden="false" customHeight="false" outlineLevel="0" collapsed="false">
      <c r="B13" s="0" t="n">
        <v>1</v>
      </c>
      <c r="C13" s="0" t="n">
        <v>0.5</v>
      </c>
      <c r="D13" s="0" t="n">
        <v>0</v>
      </c>
      <c r="E13" s="0" t="n">
        <v>0.7</v>
      </c>
      <c r="F13" s="0" t="n">
        <v>0</v>
      </c>
      <c r="G13" s="0" t="n">
        <v>0.7</v>
      </c>
      <c r="H13" s="0" t="n">
        <f aca="false">C13*E13*G13</f>
        <v>0.245</v>
      </c>
      <c r="I13" s="0" t="n">
        <f aca="false">F13*D13</f>
        <v>0</v>
      </c>
      <c r="J13" s="0" t="n">
        <f aca="false">I13*H13</f>
        <v>0</v>
      </c>
      <c r="K13" s="0" t="n">
        <f aca="false">D13*H13</f>
        <v>0</v>
      </c>
    </row>
    <row r="14" customFormat="false" ht="12.8" hidden="false" customHeight="false" outlineLevel="0" collapsed="false">
      <c r="B14" s="0" t="n">
        <v>1</v>
      </c>
      <c r="C14" s="0" t="n">
        <v>0.5</v>
      </c>
      <c r="D14" s="0" t="n">
        <v>0</v>
      </c>
      <c r="E14" s="0" t="n">
        <v>0.7</v>
      </c>
      <c r="F14" s="0" t="n">
        <v>1</v>
      </c>
      <c r="G14" s="0" t="n">
        <v>0.3</v>
      </c>
      <c r="H14" s="0" t="n">
        <f aca="false">C14*E14*G14</f>
        <v>0.105</v>
      </c>
      <c r="I14" s="0" t="n">
        <f aca="false">F14*D14</f>
        <v>0</v>
      </c>
      <c r="J14" s="0" t="n">
        <f aca="false">I14*H14</f>
        <v>0</v>
      </c>
      <c r="K14" s="0" t="n">
        <f aca="false">D14*H14</f>
        <v>0</v>
      </c>
    </row>
    <row r="15" customFormat="false" ht="12.8" hidden="false" customHeight="false" outlineLevel="0" collapsed="false">
      <c r="B15" s="0" t="n">
        <v>1</v>
      </c>
      <c r="C15" s="0" t="n">
        <v>0.5</v>
      </c>
      <c r="D15" s="0" t="n">
        <v>1</v>
      </c>
      <c r="E15" s="0" t="n">
        <v>0.3</v>
      </c>
      <c r="F15" s="0" t="n">
        <v>0</v>
      </c>
      <c r="G15" s="0" t="n">
        <v>0.7</v>
      </c>
      <c r="H15" s="0" t="n">
        <f aca="false">C15*E15*G15</f>
        <v>0.105</v>
      </c>
      <c r="I15" s="0" t="n">
        <f aca="false">F15*D15</f>
        <v>0</v>
      </c>
      <c r="J15" s="0" t="n">
        <f aca="false">I15*H15</f>
        <v>0</v>
      </c>
      <c r="K15" s="0" t="n">
        <f aca="false">D15*H15</f>
        <v>0.105</v>
      </c>
    </row>
    <row r="16" customFormat="false" ht="12.8" hidden="false" customHeight="false" outlineLevel="0" collapsed="false">
      <c r="B16" s="0" t="n">
        <v>1</v>
      </c>
      <c r="C16" s="0" t="n">
        <v>0.5</v>
      </c>
      <c r="D16" s="0" t="n">
        <v>1</v>
      </c>
      <c r="E16" s="0" t="n">
        <v>0.3</v>
      </c>
      <c r="F16" s="0" t="n">
        <v>1</v>
      </c>
      <c r="G16" s="0" t="n">
        <v>0.3</v>
      </c>
      <c r="H16" s="0" t="n">
        <f aca="false">C16*E16*G16</f>
        <v>0.045</v>
      </c>
      <c r="I16" s="0" t="n">
        <f aca="false">F16*D16</f>
        <v>1</v>
      </c>
      <c r="J16" s="0" t="n">
        <f aca="false">I16*H16</f>
        <v>0.045</v>
      </c>
      <c r="K16" s="0" t="n">
        <f aca="false">D16*H16</f>
        <v>0.045</v>
      </c>
    </row>
    <row r="17" customFormat="false" ht="12.8" hidden="false" customHeight="false" outlineLevel="0" collapsed="false">
      <c r="G17" s="1" t="s">
        <v>10</v>
      </c>
      <c r="H17" s="0" t="n">
        <f aca="false">SUM(H9:H16)</f>
        <v>1</v>
      </c>
      <c r="J17" s="0" t="n">
        <f aca="false">SUM(J9:J16)</f>
        <v>0.05</v>
      </c>
      <c r="K17" s="0" t="n">
        <f aca="false">SUM(K9:K16)</f>
        <v>0.2</v>
      </c>
    </row>
    <row r="18" customFormat="false" ht="12.75" hidden="false" customHeight="false" outlineLevel="0" collapsed="false">
      <c r="B18" s="1" t="s">
        <v>11</v>
      </c>
    </row>
    <row r="19" customFormat="false" ht="12.75" hidden="false" customHeight="false" outlineLevel="0" collapsed="false">
      <c r="B19" s="0" t="s">
        <v>12</v>
      </c>
    </row>
    <row r="20" customFormat="false" ht="12.75" hidden="false" customHeight="false" outlineLevel="0" collapsed="false">
      <c r="B20" s="0" t="s">
        <v>13</v>
      </c>
      <c r="C20" s="0" t="s">
        <v>7</v>
      </c>
    </row>
    <row r="21" customFormat="false" ht="12.75" hidden="false" customHeight="false" outlineLevel="0" collapsed="false">
      <c r="B21" s="0" t="n">
        <v>0</v>
      </c>
      <c r="C21" s="0" t="n">
        <v>0</v>
      </c>
      <c r="D21" s="0" t="s">
        <v>14</v>
      </c>
      <c r="E21" s="0" t="n">
        <f aca="false">(E9+E10)/(SUM(C9:C12))</f>
        <v>0.9</v>
      </c>
      <c r="F21" s="0" t="s">
        <v>15</v>
      </c>
      <c r="G21" s="0" t="n">
        <f aca="false">(G9+G11)/SUM(C9:C12)</f>
        <v>0.9</v>
      </c>
    </row>
    <row r="22" customFormat="false" ht="12.75" hidden="false" customHeight="false" outlineLevel="0" collapsed="false">
      <c r="B22" s="0" t="n">
        <v>0</v>
      </c>
      <c r="C22" s="0" t="n">
        <v>1</v>
      </c>
      <c r="D22" s="0" t="s">
        <v>16</v>
      </c>
      <c r="E22" s="0" t="n">
        <f aca="false">(E11+E12)/SUM(C9:C12)</f>
        <v>0.1</v>
      </c>
      <c r="F22" s="0" t="s">
        <v>17</v>
      </c>
      <c r="G22" s="0" t="n">
        <f aca="false">(G10+G12)/SUM(C9:C12)</f>
        <v>0.1</v>
      </c>
    </row>
    <row r="23" customFormat="false" ht="12.75" hidden="false" customHeight="false" outlineLevel="0" collapsed="false">
      <c r="B23" s="0" t="n">
        <v>1</v>
      </c>
      <c r="C23" s="0" t="n">
        <v>0</v>
      </c>
      <c r="D23" s="0" t="s">
        <v>18</v>
      </c>
      <c r="E23" s="0" t="n">
        <f aca="false">SUM(E13:E14)/SUM(C13:C16)</f>
        <v>0.7</v>
      </c>
      <c r="F23" s="0" t="s">
        <v>19</v>
      </c>
      <c r="G23" s="0" t="n">
        <f aca="false">(G14+G16)/SUM(C13:C16)</f>
        <v>0.3</v>
      </c>
    </row>
    <row r="24" customFormat="false" ht="12.75" hidden="false" customHeight="false" outlineLevel="0" collapsed="false">
      <c r="B24" s="0" t="n">
        <v>1</v>
      </c>
      <c r="C24" s="0" t="n">
        <v>1</v>
      </c>
      <c r="D24" s="0" t="s">
        <v>20</v>
      </c>
      <c r="E24" s="0" t="n">
        <f aca="false">(E15+E16)/SUM(C13:C16)</f>
        <v>0.3</v>
      </c>
      <c r="F24" s="0" t="s">
        <v>19</v>
      </c>
      <c r="G24" s="0" t="n">
        <f aca="false">(G14+G16)/SUM(C13:C16)</f>
        <v>0.3</v>
      </c>
    </row>
    <row r="26" customFormat="false" ht="12.75" hidden="false" customHeight="false" outlineLevel="0" collapsed="false">
      <c r="B26" s="0" t="s">
        <v>21</v>
      </c>
    </row>
    <row r="27" customFormat="false" ht="12.75" hidden="false" customHeight="false" outlineLevel="0" collapsed="false">
      <c r="B27" s="0" t="s">
        <v>13</v>
      </c>
    </row>
    <row r="29" customFormat="false" ht="12.8" hidden="false" customHeight="false" outlineLevel="0" collapsed="false">
      <c r="B29" s="1" t="s">
        <v>22</v>
      </c>
    </row>
    <row r="30" customFormat="false" ht="12.75" hidden="false" customHeight="false" outlineLevel="0" collapsed="false">
      <c r="B30" s="0" t="s">
        <v>23</v>
      </c>
      <c r="G30" s="0" t="n">
        <f aca="false">M43</f>
        <v>0.01</v>
      </c>
    </row>
    <row r="31" customFormat="false" ht="12.75" hidden="false" customHeight="false" outlineLevel="0" collapsed="false">
      <c r="B31" s="0" t="s">
        <v>24</v>
      </c>
      <c r="C31" s="0" t="n">
        <f aca="false">H11+H12+H15+H16</f>
        <v>0.2</v>
      </c>
    </row>
    <row r="32" customFormat="false" ht="12.75" hidden="false" customHeight="false" outlineLevel="0" collapsed="false">
      <c r="B32" s="0" t="s">
        <v>25</v>
      </c>
      <c r="C32" s="0" t="n">
        <f aca="false">H10+H12+H14+H16</f>
        <v>0.2</v>
      </c>
    </row>
    <row r="33" customFormat="false" ht="12.8" hidden="false" customHeight="false" outlineLevel="0" collapsed="false"/>
    <row r="34" customFormat="false" ht="12.8" hidden="false" customHeight="false" outlineLevel="0" collapsed="false">
      <c r="B34" s="0" t="s">
        <v>5</v>
      </c>
      <c r="D34" s="0" t="s">
        <v>6</v>
      </c>
      <c r="F34" s="0" t="s">
        <v>7</v>
      </c>
      <c r="H34" s="0" t="s">
        <v>8</v>
      </c>
      <c r="I34" s="0" t="s">
        <v>26</v>
      </c>
      <c r="J34" s="0" t="s">
        <v>27</v>
      </c>
      <c r="K34" s="0" t="s">
        <v>28</v>
      </c>
    </row>
    <row r="35" customFormat="false" ht="12.8" hidden="false" customHeight="false" outlineLevel="0" collapsed="false">
      <c r="B35" s="0" t="n">
        <v>0</v>
      </c>
      <c r="C35" s="0" t="n">
        <v>0.5</v>
      </c>
      <c r="D35" s="0" t="n">
        <v>0</v>
      </c>
      <c r="E35" s="0" t="n">
        <v>0.9</v>
      </c>
      <c r="F35" s="0" t="n">
        <v>0</v>
      </c>
      <c r="G35" s="0" t="n">
        <v>0.9</v>
      </c>
      <c r="H35" s="0" t="n">
        <f aca="false">C35*E35*G35</f>
        <v>0.405</v>
      </c>
      <c r="I35" s="0" t="n">
        <f aca="false">D35-0.2</f>
        <v>-0.2</v>
      </c>
      <c r="J35" s="0" t="n">
        <f aca="false">F35-0.2</f>
        <v>-0.2</v>
      </c>
      <c r="K35" s="0" t="n">
        <f aca="false">J35*I35</f>
        <v>0.04</v>
      </c>
      <c r="M35" s="0" t="n">
        <f aca="false">K35*H35</f>
        <v>0.0162</v>
      </c>
    </row>
    <row r="36" customFormat="false" ht="12.8" hidden="false" customHeight="false" outlineLevel="0" collapsed="false">
      <c r="B36" s="0" t="n">
        <v>0</v>
      </c>
      <c r="C36" s="0" t="n">
        <v>0.5</v>
      </c>
      <c r="D36" s="0" t="n">
        <v>0</v>
      </c>
      <c r="E36" s="0" t="n">
        <v>0.9</v>
      </c>
      <c r="F36" s="0" t="n">
        <v>1</v>
      </c>
      <c r="G36" s="0" t="n">
        <v>0.1</v>
      </c>
      <c r="H36" s="0" t="n">
        <f aca="false">C36*E36*G36</f>
        <v>0.045</v>
      </c>
      <c r="I36" s="0" t="n">
        <f aca="false">D36-0.2</f>
        <v>-0.2</v>
      </c>
      <c r="J36" s="0" t="n">
        <f aca="false">F36-0.2</f>
        <v>0.8</v>
      </c>
      <c r="K36" s="0" t="n">
        <f aca="false">J36*I36</f>
        <v>-0.16</v>
      </c>
      <c r="M36" s="0" t="n">
        <f aca="false">K36*H36</f>
        <v>-0.0072</v>
      </c>
    </row>
    <row r="37" customFormat="false" ht="12.8" hidden="false" customHeight="false" outlineLevel="0" collapsed="false">
      <c r="B37" s="0" t="n">
        <v>0</v>
      </c>
      <c r="C37" s="0" t="n">
        <v>0.5</v>
      </c>
      <c r="D37" s="0" t="n">
        <v>1</v>
      </c>
      <c r="E37" s="0" t="n">
        <v>0.1</v>
      </c>
      <c r="F37" s="0" t="n">
        <v>0</v>
      </c>
      <c r="G37" s="0" t="n">
        <v>0.9</v>
      </c>
      <c r="H37" s="0" t="n">
        <f aca="false">C37*E37*G37</f>
        <v>0.045</v>
      </c>
      <c r="I37" s="0" t="n">
        <f aca="false">D37-0.2</f>
        <v>0.8</v>
      </c>
      <c r="J37" s="0" t="n">
        <f aca="false">F37-0.2</f>
        <v>-0.2</v>
      </c>
      <c r="K37" s="0" t="n">
        <f aca="false">J37*I37</f>
        <v>-0.16</v>
      </c>
      <c r="M37" s="0" t="n">
        <f aca="false">K37*H37</f>
        <v>-0.0072</v>
      </c>
    </row>
    <row r="38" customFormat="false" ht="12.8" hidden="false" customHeight="false" outlineLevel="0" collapsed="false">
      <c r="B38" s="0" t="n">
        <v>0</v>
      </c>
      <c r="C38" s="0" t="n">
        <v>0.5</v>
      </c>
      <c r="D38" s="0" t="n">
        <v>1</v>
      </c>
      <c r="E38" s="0" t="n">
        <v>0.1</v>
      </c>
      <c r="F38" s="0" t="n">
        <v>1</v>
      </c>
      <c r="G38" s="0" t="n">
        <v>0.1</v>
      </c>
      <c r="H38" s="0" t="n">
        <f aca="false">C38*E38*G38</f>
        <v>0.005</v>
      </c>
      <c r="I38" s="0" t="n">
        <f aca="false">D38-0.2</f>
        <v>0.8</v>
      </c>
      <c r="J38" s="0" t="n">
        <f aca="false">F38-0.2</f>
        <v>0.8</v>
      </c>
      <c r="K38" s="0" t="n">
        <f aca="false">J38*I38</f>
        <v>0.64</v>
      </c>
      <c r="M38" s="0" t="n">
        <f aca="false">K38*H38</f>
        <v>0.0032</v>
      </c>
    </row>
    <row r="39" customFormat="false" ht="12.8" hidden="false" customHeight="false" outlineLevel="0" collapsed="false">
      <c r="B39" s="0" t="n">
        <v>1</v>
      </c>
      <c r="C39" s="0" t="n">
        <v>0.5</v>
      </c>
      <c r="D39" s="0" t="n">
        <v>0</v>
      </c>
      <c r="E39" s="0" t="n">
        <v>0.7</v>
      </c>
      <c r="F39" s="0" t="n">
        <v>0</v>
      </c>
      <c r="G39" s="0" t="n">
        <v>0.7</v>
      </c>
      <c r="H39" s="0" t="n">
        <f aca="false">C39*E39*G39</f>
        <v>0.245</v>
      </c>
      <c r="I39" s="0" t="n">
        <f aca="false">D39-0.2</f>
        <v>-0.2</v>
      </c>
      <c r="J39" s="0" t="n">
        <f aca="false">F39-0.2</f>
        <v>-0.2</v>
      </c>
      <c r="K39" s="0" t="n">
        <f aca="false">J39*I39</f>
        <v>0.04</v>
      </c>
      <c r="M39" s="0" t="n">
        <f aca="false">K39*H39</f>
        <v>0.0098</v>
      </c>
    </row>
    <row r="40" customFormat="false" ht="12.8" hidden="false" customHeight="false" outlineLevel="0" collapsed="false">
      <c r="B40" s="0" t="n">
        <v>1</v>
      </c>
      <c r="C40" s="0" t="n">
        <v>0.5</v>
      </c>
      <c r="D40" s="0" t="n">
        <v>0</v>
      </c>
      <c r="E40" s="0" t="n">
        <v>0.7</v>
      </c>
      <c r="F40" s="0" t="n">
        <v>1</v>
      </c>
      <c r="G40" s="0" t="n">
        <v>0.3</v>
      </c>
      <c r="H40" s="0" t="n">
        <f aca="false">C40*E40*G40</f>
        <v>0.105</v>
      </c>
      <c r="I40" s="0" t="n">
        <f aca="false">D40-0.2</f>
        <v>-0.2</v>
      </c>
      <c r="J40" s="0" t="n">
        <f aca="false">F40-0.2</f>
        <v>0.8</v>
      </c>
      <c r="K40" s="0" t="n">
        <f aca="false">J40*I40</f>
        <v>-0.16</v>
      </c>
      <c r="M40" s="0" t="n">
        <f aca="false">K40*H40</f>
        <v>-0.0168</v>
      </c>
    </row>
    <row r="41" customFormat="false" ht="12.8" hidden="false" customHeight="false" outlineLevel="0" collapsed="false">
      <c r="B41" s="0" t="n">
        <v>1</v>
      </c>
      <c r="C41" s="0" t="n">
        <v>0.5</v>
      </c>
      <c r="D41" s="0" t="n">
        <v>1</v>
      </c>
      <c r="E41" s="0" t="n">
        <v>0.3</v>
      </c>
      <c r="F41" s="0" t="n">
        <v>0</v>
      </c>
      <c r="G41" s="0" t="n">
        <v>0.7</v>
      </c>
      <c r="H41" s="0" t="n">
        <f aca="false">C41*E41*G41</f>
        <v>0.105</v>
      </c>
      <c r="I41" s="0" t="n">
        <f aca="false">D41-0.2</f>
        <v>0.8</v>
      </c>
      <c r="J41" s="0" t="n">
        <f aca="false">F41-0.2</f>
        <v>-0.2</v>
      </c>
      <c r="K41" s="0" t="n">
        <f aca="false">J41*I41</f>
        <v>-0.16</v>
      </c>
      <c r="M41" s="0" t="n">
        <f aca="false">K41*H41</f>
        <v>-0.0168</v>
      </c>
    </row>
    <row r="42" customFormat="false" ht="12.8" hidden="false" customHeight="false" outlineLevel="0" collapsed="false">
      <c r="B42" s="0" t="n">
        <v>1</v>
      </c>
      <c r="C42" s="0" t="n">
        <v>0.5</v>
      </c>
      <c r="D42" s="0" t="n">
        <v>1</v>
      </c>
      <c r="E42" s="0" t="n">
        <v>0.3</v>
      </c>
      <c r="F42" s="0" t="n">
        <v>1</v>
      </c>
      <c r="G42" s="0" t="n">
        <v>0.3</v>
      </c>
      <c r="H42" s="0" t="n">
        <f aca="false">C42*E42*G42</f>
        <v>0.045</v>
      </c>
      <c r="I42" s="0" t="n">
        <f aca="false">D42-0.2</f>
        <v>0.8</v>
      </c>
      <c r="J42" s="0" t="n">
        <f aca="false">F42-0.2</f>
        <v>0.8</v>
      </c>
      <c r="K42" s="0" t="n">
        <f aca="false">J42*I42</f>
        <v>0.64</v>
      </c>
      <c r="M42" s="0" t="n">
        <f aca="false">K42*H42</f>
        <v>0.0288</v>
      </c>
    </row>
    <row r="43" customFormat="false" ht="12.75" hidden="false" customHeight="false" outlineLevel="0" collapsed="false">
      <c r="M43" s="0" t="n">
        <f aca="false">SUM(M35:M42)</f>
        <v>0.01</v>
      </c>
      <c r="N43" s="0" t="n">
        <f aca="false">J17-K17^2</f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LibreOffice/7.1.1.2$Linux_X86_64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2021-03-04T14:32:19Z</dcterms:created>
  <dc:creator/>
  <dc:description/>
  <dc:language>en-US</dc:language>
  <cp:lastModifiedBy/>
  <dcterms:modified xsi:type="dcterms:W3CDTF">2021-03-05T05:52:01Z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9cd34df0-e626-4dfc-947e-c67bca447193</vt:lpwstr>
  </property>
</Properties>
</file>